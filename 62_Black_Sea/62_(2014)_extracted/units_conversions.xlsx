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62_Black_Sea\62_(2014)_extracted\1960-1969\"/>
    </mc:Choice>
  </mc:AlternateContent>
  <xr:revisionPtr revIDLastSave="0" documentId="13_ncr:1_{EC7090EC-4798-4A95-A5F5-786EEC86B52D}" xr6:coauthVersionLast="47" xr6:coauthVersionMax="47" xr10:uidLastSave="{00000000-0000-0000-0000-000000000000}"/>
  <bookViews>
    <workbookView xWindow="-90" yWindow="0" windowWidth="9780" windowHeight="10170" xr2:uid="{B9861F0E-652F-42D9-95AB-47C6086B5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2" i="1" l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O39" i="1"/>
  <c r="O38" i="1"/>
  <c r="O37" i="1"/>
  <c r="O36" i="1"/>
  <c r="O35" i="1"/>
  <c r="O34" i="1"/>
  <c r="O33" i="1"/>
  <c r="O32" i="1"/>
  <c r="J14" i="1"/>
  <c r="K14" i="1"/>
  <c r="I14" i="1"/>
</calcChain>
</file>

<file path=xl/sharedStrings.xml><?xml version="1.0" encoding="utf-8"?>
<sst xmlns="http://schemas.openxmlformats.org/spreadsheetml/2006/main" count="157" uniqueCount="60">
  <si>
    <r>
      <t>Table 2</t>
    </r>
    <r>
      <rPr>
        <sz val="8"/>
        <color rgb="FF1F1F1F"/>
        <rFont val="Georgia"/>
        <family val="1"/>
      </rPr>
      <t>. Multipliers used to convert biomass and catch values from grammes wet weight into grammes carbon.</t>
    </r>
  </si>
  <si>
    <t>Group</t>
  </si>
  <si>
    <t>Conversion multiplier (grammes wet weight to grammes carbon)</t>
  </si>
  <si>
    <t>Reference</t>
  </si>
  <si>
    <t>Phytoplankton</t>
  </si>
  <si>
    <t>O'Reilly and Dow (2006)</t>
  </si>
  <si>
    <t>Zooplankton</t>
  </si>
  <si>
    <r>
      <t>Dow et al. (2006)</t>
    </r>
    <r>
      <rPr>
        <sz val="7"/>
        <color theme="1"/>
        <rFont val="Georgia"/>
        <family val="1"/>
      </rPr>
      <t>, </t>
    </r>
    <r>
      <rPr>
        <sz val="7"/>
        <color rgb="FF0272B1"/>
        <rFont val="Georgia"/>
        <family val="1"/>
      </rPr>
      <t>Weslawski and Legeżyńska (1998)</t>
    </r>
  </si>
  <si>
    <t>Noctiluca</t>
  </si>
  <si>
    <t>Dow et al. (2006)</t>
  </si>
  <si>
    <t>Aurelia</t>
  </si>
  <si>
    <t>Oguz et al. (2001)</t>
  </si>
  <si>
    <t>Mnemiopsis</t>
  </si>
  <si>
    <t>Fish groups</t>
  </si>
  <si>
    <t>Oguz et al. (2008a)</t>
  </si>
  <si>
    <t>Groups</t>
  </si>
  <si>
    <r>
      <t>Biomass (g C m</t>
    </r>
    <r>
      <rPr>
        <b/>
        <sz val="5"/>
        <color theme="1"/>
        <rFont val="Georgia"/>
        <family val="1"/>
      </rPr>
      <t>− 2</t>
    </r>
    <r>
      <rPr>
        <b/>
        <sz val="7"/>
        <color theme="1"/>
        <rFont val="Georgia"/>
        <family val="1"/>
      </rPr>
      <t>)</t>
    </r>
  </si>
  <si>
    <r>
      <t>Production/Biomass (y</t>
    </r>
    <r>
      <rPr>
        <b/>
        <sz val="5"/>
        <color theme="1"/>
        <rFont val="Georgia"/>
        <family val="1"/>
      </rPr>
      <t>− 1</t>
    </r>
    <r>
      <rPr>
        <b/>
        <sz val="7"/>
        <color theme="1"/>
        <rFont val="Georgia"/>
        <family val="1"/>
      </rPr>
      <t>)</t>
    </r>
  </si>
  <si>
    <r>
      <t>Consumption/Biomass (y</t>
    </r>
    <r>
      <rPr>
        <b/>
        <sz val="5"/>
        <color theme="1"/>
        <rFont val="Georgia"/>
        <family val="1"/>
      </rPr>
      <t>− 1</t>
    </r>
    <r>
      <rPr>
        <b/>
        <sz val="7"/>
        <color theme="1"/>
        <rFont val="Georgia"/>
        <family val="1"/>
      </rPr>
      <t>)</t>
    </r>
  </si>
  <si>
    <t>Ecotrophic efficiency</t>
  </si>
  <si>
    <r>
      <t>Catch (g C m</t>
    </r>
    <r>
      <rPr>
        <b/>
        <sz val="5"/>
        <color theme="1"/>
        <rFont val="Georgia"/>
        <family val="1"/>
      </rPr>
      <t>− 2</t>
    </r>
    <r>
      <rPr>
        <b/>
        <sz val="7"/>
        <color theme="1"/>
        <rFont val="Georgia"/>
        <family val="1"/>
      </rPr>
      <t> y</t>
    </r>
    <r>
      <rPr>
        <b/>
        <sz val="5"/>
        <color theme="1"/>
        <rFont val="Georgia"/>
        <family val="1"/>
      </rPr>
      <t>− 1</t>
    </r>
    <r>
      <rPr>
        <b/>
        <sz val="7"/>
        <color theme="1"/>
        <rFont val="Georgia"/>
        <family val="1"/>
      </rPr>
      <t>)</t>
    </r>
  </si>
  <si>
    <t>P1</t>
  </si>
  <si>
    <t>P2</t>
  </si>
  <si>
    <t>P3</t>
  </si>
  <si>
    <t>P4</t>
  </si>
  <si>
    <t>P 1</t>
  </si>
  <si>
    <t>Dolphins</t>
  </si>
  <si>
    <t>Est.</t>
  </si>
  <si>
    <t>Pelagic piscivorous fish</t>
  </si>
  <si>
    <t>Demersal fish</t>
  </si>
  <si>
    <t>–</t>
  </si>
  <si>
    <t>Small pelagic fish</t>
  </si>
  <si>
    <t>N.A.</t>
  </si>
  <si>
    <t>Biomass (ton wet weight / kmÂ²)_P1</t>
  </si>
  <si>
    <t>Biomass (ton wet weight / kmÂ²)_P2</t>
  </si>
  <si>
    <t>Biomass (ton wet weight / kmÂ²)_P3</t>
  </si>
  <si>
    <t>Biomass (ton wet weight / kmÂ²)_P4</t>
  </si>
  <si>
    <t>Production/Biomass (yâˆ’ 1)_P 1</t>
  </si>
  <si>
    <t>Production/Biomass (yâˆ’ 1)_P2</t>
  </si>
  <si>
    <t>Production/Biomass (yâˆ’ 1)_P3</t>
  </si>
  <si>
    <t>Production/Biomass (yâˆ’ 1)_P4</t>
  </si>
  <si>
    <t>Consumption/Biomass (yâˆ’ 1)_P1</t>
  </si>
  <si>
    <t>Consumption/Biomass (yâˆ’ 1)_P2</t>
  </si>
  <si>
    <t>Consumption/Biomass (yâˆ’ 1)_P3</t>
  </si>
  <si>
    <t>Consumption/Biomass (yâˆ’ 1)_P4</t>
  </si>
  <si>
    <t>Ecotrophic efficiency_P1</t>
  </si>
  <si>
    <t>Ecotrophic efficiency_P2</t>
  </si>
  <si>
    <t>Ecotrophic efficiency_P3</t>
  </si>
  <si>
    <t>Ecotrophic efficiency_P4</t>
  </si>
  <si>
    <t>Catch (ton wet weight / kmÂ² yâ»Â¹)_P1</t>
  </si>
  <si>
    <t>Catch (ton wet weight / kmÂ² yâ»Â¹)_P2</t>
  </si>
  <si>
    <t>Catch (ton wet weight / kmÂ² yâ»Â¹)_P3</t>
  </si>
  <si>
    <t>Catch (ton wet weight / kmÂ² yâ»Â¹)_P4</t>
  </si>
  <si>
    <t>â€“</t>
  </si>
  <si>
    <t>Table 6</t>
  </si>
  <si>
    <t>Parameter/group</t>
  </si>
  <si>
    <r>
      <t>Biomass (g C m</t>
    </r>
    <r>
      <rPr>
        <b/>
        <sz val="5"/>
        <color rgb="FF1F1F1F"/>
        <rFont val="Georgia"/>
        <family val="1"/>
      </rPr>
      <t>− 2</t>
    </r>
    <r>
      <rPr>
        <b/>
        <sz val="7"/>
        <color rgb="FF1F1F1F"/>
        <rFont val="Georgia"/>
        <family val="1"/>
      </rPr>
      <t> y</t>
    </r>
    <r>
      <rPr>
        <b/>
        <sz val="5"/>
        <color rgb="FF1F1F1F"/>
        <rFont val="Georgia"/>
        <family val="1"/>
      </rPr>
      <t>− 1</t>
    </r>
    <r>
      <rPr>
        <b/>
        <sz val="7"/>
        <color rgb="FF1F1F1F"/>
        <rFont val="Georgia"/>
        <family val="1"/>
      </rPr>
      <t>)</t>
    </r>
  </si>
  <si>
    <r>
      <t>Respiration (g C m</t>
    </r>
    <r>
      <rPr>
        <b/>
        <sz val="5"/>
        <color rgb="FF1F1F1F"/>
        <rFont val="Georgia"/>
        <family val="1"/>
      </rPr>
      <t>− 2</t>
    </r>
    <r>
      <rPr>
        <b/>
        <sz val="7"/>
        <color rgb="FF1F1F1F"/>
        <rFont val="Georgia"/>
        <family val="1"/>
      </rPr>
      <t>)</t>
    </r>
  </si>
  <si>
    <t>Piscivorous fish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</si>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</sst>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color rgb="FF1F1F1F"/>
      <name val="Georgia"/>
      <family val="1"/>
    </font>
    <font>
      <sz val="7"/>
      <color rgb="FF1F1F1F"/>
      <name val="Georgia"/>
      <family val="1"/>
    </font>
    <font>
      <b/>
      <sz val="7"/>
      <color theme="1"/>
      <name val="Georgia"/>
      <family val="1"/>
    </font>
    <font>
      <sz val="7"/>
      <color theme="1"/>
      <name val="Georgia"/>
      <family val="1"/>
    </font>
    <font>
      <sz val="7"/>
      <color rgb="FF0272B1"/>
      <name val="Georgia"/>
      <family val="1"/>
    </font>
    <font>
      <i/>
      <sz val="7"/>
      <color theme="1"/>
      <name val="Georgia"/>
      <family val="1"/>
    </font>
    <font>
      <u/>
      <sz val="11"/>
      <color theme="10"/>
      <name val="Aptos Narrow"/>
      <family val="2"/>
      <scheme val="minor"/>
    </font>
    <font>
      <b/>
      <sz val="5"/>
      <color theme="1"/>
      <name val="Georgia"/>
      <family val="1"/>
    </font>
    <font>
      <b/>
      <sz val="7"/>
      <color rgb="FF1F1F1F"/>
      <name val="Georgia"/>
      <family val="1"/>
    </font>
    <font>
      <b/>
      <sz val="5"/>
      <color rgb="FF1F1F1F"/>
      <name val="Georgia"/>
      <family val="1"/>
    </font>
    <font>
      <i/>
      <sz val="7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 style="medium">
        <color rgb="FF8E8E8E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-sciencedirect-com.ezproxy.weizmann.ac.il/science/article/pii/S0924796314000396" TargetMode="External"/><Relationship Id="rId2" Type="http://schemas.openxmlformats.org/officeDocument/2006/relationships/hyperlink" Target="https://www-sciencedirect-com.ezproxy.weizmann.ac.il/science/article/pii/S0924796314000396" TargetMode="External"/><Relationship Id="rId1" Type="http://schemas.openxmlformats.org/officeDocument/2006/relationships/hyperlink" Target="https://www-sciencedirect-com.ezproxy.weizmann.ac.il/science/article/pii/S0924796314000396" TargetMode="External"/><Relationship Id="rId5" Type="http://schemas.openxmlformats.org/officeDocument/2006/relationships/hyperlink" Target="https://www-sciencedirect-com.ezproxy.weizmann.ac.il/science/article/pii/S0924796314000396" TargetMode="External"/><Relationship Id="rId4" Type="http://schemas.openxmlformats.org/officeDocument/2006/relationships/hyperlink" Target="https://www-sciencedirect-com.ezproxy.weizmann.ac.il/science/article/pii/S09247963140003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1A4F-F836-4183-9928-40A7D3C88DD8}">
  <dimension ref="A1:AA41"/>
  <sheetViews>
    <sheetView tabSelected="1" topLeftCell="A24" zoomScale="76" workbookViewId="0">
      <selection activeCell="F38" sqref="F38:I38"/>
    </sheetView>
  </sheetViews>
  <sheetFormatPr defaultRowHeight="14.5" x14ac:dyDescent="0.35"/>
  <sheetData>
    <row r="1" spans="1:27" ht="110.5" thickBot="1" x14ac:dyDescent="0.4">
      <c r="A1" s="1" t="s">
        <v>0</v>
      </c>
      <c r="G1" s="12" t="s">
        <v>15</v>
      </c>
      <c r="H1" s="14" t="s">
        <v>16</v>
      </c>
      <c r="I1" s="14"/>
      <c r="J1" s="14"/>
      <c r="K1" s="14"/>
      <c r="L1" s="14" t="s">
        <v>17</v>
      </c>
      <c r="M1" s="14"/>
      <c r="N1" s="14"/>
      <c r="O1" s="14"/>
      <c r="P1" s="14" t="s">
        <v>18</v>
      </c>
      <c r="Q1" s="14"/>
      <c r="R1" s="14"/>
      <c r="S1" s="14"/>
      <c r="T1" s="14" t="s">
        <v>19</v>
      </c>
      <c r="U1" s="14"/>
      <c r="V1" s="14"/>
      <c r="W1" s="14"/>
      <c r="X1" s="14" t="s">
        <v>20</v>
      </c>
      <c r="Y1" s="14"/>
      <c r="Z1" s="14"/>
      <c r="AA1" s="14"/>
    </row>
    <row r="2" spans="1:27" ht="54.5" thickBot="1" x14ac:dyDescent="0.4">
      <c r="A2" s="8" t="s">
        <v>1</v>
      </c>
      <c r="B2" s="8" t="s">
        <v>2</v>
      </c>
      <c r="C2" s="8" t="s">
        <v>3</v>
      </c>
      <c r="G2" s="13"/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22</v>
      </c>
      <c r="N2" s="2" t="s">
        <v>23</v>
      </c>
      <c r="O2" s="2" t="s">
        <v>24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1:27" ht="43.5" x14ac:dyDescent="0.35">
      <c r="A3" s="3" t="s">
        <v>4</v>
      </c>
      <c r="B3" s="4">
        <v>0.1</v>
      </c>
      <c r="C3" s="6" t="s">
        <v>5</v>
      </c>
      <c r="G3" s="3" t="s">
        <v>26</v>
      </c>
      <c r="H3" s="3">
        <v>0.01</v>
      </c>
      <c r="I3" s="16" t="s">
        <v>27</v>
      </c>
      <c r="J3" s="16"/>
      <c r="K3" s="16"/>
      <c r="L3" s="16">
        <v>0.35</v>
      </c>
      <c r="M3" s="16"/>
      <c r="N3" s="16"/>
      <c r="O3" s="16"/>
      <c r="P3" s="16">
        <v>19</v>
      </c>
      <c r="Q3" s="16"/>
      <c r="R3" s="16"/>
      <c r="S3" s="16"/>
      <c r="T3" s="3" t="s">
        <v>27</v>
      </c>
      <c r="U3" s="16">
        <v>0.28599999999999998</v>
      </c>
      <c r="V3" s="16"/>
      <c r="W3" s="16"/>
      <c r="X3" s="16">
        <v>1E-3</v>
      </c>
      <c r="Y3" s="16"/>
      <c r="Z3" s="16"/>
      <c r="AA3" s="16"/>
    </row>
    <row r="4" spans="1:27" ht="45" x14ac:dyDescent="0.35">
      <c r="A4" s="3" t="s">
        <v>6</v>
      </c>
      <c r="B4" s="4">
        <v>0.08</v>
      </c>
      <c r="C4" s="5" t="s">
        <v>7</v>
      </c>
      <c r="G4" s="3" t="s">
        <v>28</v>
      </c>
      <c r="H4" s="3">
        <v>0.02</v>
      </c>
      <c r="I4" s="15" t="s">
        <v>27</v>
      </c>
      <c r="J4" s="15"/>
      <c r="K4" s="15"/>
      <c r="L4" s="15">
        <v>0.55000000000000004</v>
      </c>
      <c r="M4" s="15"/>
      <c r="N4" s="15"/>
      <c r="O4" s="15"/>
      <c r="P4" s="15">
        <v>5</v>
      </c>
      <c r="Q4" s="15"/>
      <c r="R4" s="15"/>
      <c r="S4" s="15"/>
      <c r="T4" s="3" t="s">
        <v>27</v>
      </c>
      <c r="U4" s="15">
        <v>0.995</v>
      </c>
      <c r="V4" s="15"/>
      <c r="W4" s="15"/>
      <c r="X4" s="3">
        <v>0.01</v>
      </c>
      <c r="Y4" s="3">
        <v>2.5999999999999999E-2</v>
      </c>
      <c r="Z4" s="3">
        <v>1.6E-2</v>
      </c>
      <c r="AA4" s="3">
        <v>6.0000000000000001E-3</v>
      </c>
    </row>
    <row r="5" spans="1:27" ht="29" x14ac:dyDescent="0.35">
      <c r="A5" s="7" t="s">
        <v>8</v>
      </c>
      <c r="B5" s="4">
        <v>0.08</v>
      </c>
      <c r="C5" s="6" t="s">
        <v>9</v>
      </c>
      <c r="G5" s="3" t="s">
        <v>29</v>
      </c>
      <c r="H5" s="3">
        <v>0.05</v>
      </c>
      <c r="I5" s="3">
        <v>0.32900000000000001</v>
      </c>
      <c r="J5" s="3">
        <v>0.121</v>
      </c>
      <c r="K5" s="3">
        <v>8.5999999999999993E-2</v>
      </c>
      <c r="L5" s="15">
        <v>0.63</v>
      </c>
      <c r="M5" s="15"/>
      <c r="N5" s="15"/>
      <c r="O5" s="15"/>
      <c r="P5" s="15">
        <v>1.5</v>
      </c>
      <c r="Q5" s="15"/>
      <c r="R5" s="15"/>
      <c r="S5" s="15"/>
      <c r="T5" s="15" t="s">
        <v>27</v>
      </c>
      <c r="U5" s="15"/>
      <c r="V5" s="15"/>
      <c r="W5" s="15"/>
      <c r="X5" s="3" t="s">
        <v>30</v>
      </c>
      <c r="Y5" s="3">
        <v>2.1000000000000001E-2</v>
      </c>
      <c r="Z5" s="3">
        <v>2.4E-2</v>
      </c>
      <c r="AA5" s="3">
        <v>1.6E-2</v>
      </c>
    </row>
    <row r="6" spans="1:27" ht="29" x14ac:dyDescent="0.35">
      <c r="A6" s="7" t="s">
        <v>10</v>
      </c>
      <c r="B6" s="4">
        <v>2E-3</v>
      </c>
      <c r="C6" s="6" t="s">
        <v>11</v>
      </c>
      <c r="G6" s="3" t="s">
        <v>31</v>
      </c>
      <c r="H6" s="3">
        <v>0.2</v>
      </c>
      <c r="I6" s="3">
        <v>1.4570000000000001</v>
      </c>
      <c r="J6" s="3">
        <v>0.53800000000000003</v>
      </c>
      <c r="K6" s="3">
        <v>0.55300000000000005</v>
      </c>
      <c r="L6" s="15">
        <v>1.5</v>
      </c>
      <c r="M6" s="15"/>
      <c r="N6" s="15"/>
      <c r="O6" s="15"/>
      <c r="P6" s="15">
        <v>11</v>
      </c>
      <c r="Q6" s="15"/>
      <c r="R6" s="15"/>
      <c r="S6" s="15"/>
      <c r="T6" s="15" t="s">
        <v>27</v>
      </c>
      <c r="U6" s="15"/>
      <c r="V6" s="15"/>
      <c r="W6" s="15"/>
      <c r="X6" s="3">
        <v>0.02</v>
      </c>
      <c r="Y6" s="3">
        <v>0.41</v>
      </c>
      <c r="Z6" s="3">
        <v>0.17</v>
      </c>
      <c r="AA6" s="3">
        <v>0.245</v>
      </c>
    </row>
    <row r="7" spans="1:27" ht="29" x14ac:dyDescent="0.35">
      <c r="A7" s="7" t="s">
        <v>12</v>
      </c>
      <c r="B7" s="4">
        <v>1E-3</v>
      </c>
      <c r="C7" s="6" t="s">
        <v>11</v>
      </c>
      <c r="G7" s="7" t="s">
        <v>10</v>
      </c>
      <c r="H7" s="3">
        <v>0.03</v>
      </c>
      <c r="I7" s="3">
        <v>0.48</v>
      </c>
      <c r="J7" s="3">
        <v>0.112</v>
      </c>
      <c r="K7" s="3">
        <v>0.128</v>
      </c>
      <c r="L7" s="15">
        <v>11</v>
      </c>
      <c r="M7" s="15"/>
      <c r="N7" s="15"/>
      <c r="O7" s="15"/>
      <c r="P7" s="15">
        <v>29.2</v>
      </c>
      <c r="Q7" s="15"/>
      <c r="R7" s="15"/>
      <c r="S7" s="15"/>
      <c r="T7" s="15" t="s">
        <v>27</v>
      </c>
      <c r="U7" s="15"/>
      <c r="V7" s="15"/>
      <c r="W7" s="15"/>
      <c r="X7" s="15" t="s">
        <v>32</v>
      </c>
      <c r="Y7" s="15"/>
      <c r="Z7" s="15"/>
      <c r="AA7" s="15"/>
    </row>
    <row r="8" spans="1:27" ht="44" thickBot="1" x14ac:dyDescent="0.4">
      <c r="A8" s="9" t="s">
        <v>13</v>
      </c>
      <c r="B8" s="10">
        <v>0.11</v>
      </c>
      <c r="C8" s="11" t="s">
        <v>14</v>
      </c>
      <c r="G8" s="7" t="s">
        <v>12</v>
      </c>
      <c r="H8" s="3" t="s">
        <v>30</v>
      </c>
      <c r="I8" s="3" t="s">
        <v>30</v>
      </c>
      <c r="J8" s="3">
        <v>0.82099999999999995</v>
      </c>
      <c r="K8" s="3">
        <v>0.17599999999999999</v>
      </c>
      <c r="L8" s="3" t="s">
        <v>30</v>
      </c>
      <c r="M8" s="3" t="s">
        <v>30</v>
      </c>
      <c r="N8" s="17">
        <v>11</v>
      </c>
      <c r="O8" s="17"/>
      <c r="P8" s="3" t="s">
        <v>30</v>
      </c>
      <c r="Q8" s="3" t="s">
        <v>30</v>
      </c>
      <c r="R8" s="17">
        <v>29.2</v>
      </c>
      <c r="S8" s="17"/>
      <c r="T8" s="15" t="s">
        <v>27</v>
      </c>
      <c r="U8" s="15"/>
      <c r="V8" s="15"/>
      <c r="W8" s="15"/>
      <c r="X8" s="15" t="s">
        <v>32</v>
      </c>
      <c r="Y8" s="15"/>
      <c r="Z8" s="15"/>
      <c r="AA8" s="15"/>
    </row>
    <row r="9" spans="1:27" x14ac:dyDescent="0.35">
      <c r="G9" s="3" t="s">
        <v>6</v>
      </c>
      <c r="H9" s="3">
        <v>0.66</v>
      </c>
      <c r="I9" s="3">
        <v>0.90300000000000002</v>
      </c>
      <c r="J9" s="3">
        <v>0.54</v>
      </c>
      <c r="K9" s="3">
        <v>1.2070000000000001</v>
      </c>
      <c r="L9" s="15">
        <v>44</v>
      </c>
      <c r="M9" s="15"/>
      <c r="N9" s="15"/>
      <c r="O9" s="15"/>
      <c r="P9" s="15">
        <v>345</v>
      </c>
      <c r="Q9" s="15"/>
      <c r="R9" s="15"/>
      <c r="S9" s="15"/>
      <c r="T9" s="15" t="s">
        <v>27</v>
      </c>
      <c r="U9" s="15"/>
      <c r="V9" s="15"/>
      <c r="W9" s="15"/>
      <c r="X9" s="15" t="s">
        <v>32</v>
      </c>
      <c r="Y9" s="15"/>
      <c r="Z9" s="15"/>
      <c r="AA9" s="15"/>
    </row>
    <row r="10" spans="1:27" x14ac:dyDescent="0.35">
      <c r="G10" s="7" t="s">
        <v>8</v>
      </c>
      <c r="H10" s="3">
        <v>0.09</v>
      </c>
      <c r="I10" s="3">
        <v>1.06</v>
      </c>
      <c r="J10" s="3">
        <v>0.73599999999999999</v>
      </c>
      <c r="K10" s="3">
        <v>0.5</v>
      </c>
      <c r="L10" s="15">
        <v>7.3</v>
      </c>
      <c r="M10" s="15"/>
      <c r="N10" s="15"/>
      <c r="O10" s="15"/>
      <c r="P10" s="15">
        <v>36.200000000000003</v>
      </c>
      <c r="Q10" s="15"/>
      <c r="R10" s="15"/>
      <c r="S10" s="15"/>
      <c r="T10" s="15" t="s">
        <v>27</v>
      </c>
      <c r="U10" s="15"/>
      <c r="V10" s="15"/>
      <c r="W10" s="15"/>
      <c r="X10" s="15" t="s">
        <v>32</v>
      </c>
      <c r="Y10" s="15"/>
      <c r="Z10" s="15"/>
      <c r="AA10" s="15"/>
    </row>
    <row r="11" spans="1:27" ht="18.5" thickBot="1" x14ac:dyDescent="0.4">
      <c r="G11" s="9" t="s">
        <v>4</v>
      </c>
      <c r="H11" s="9">
        <v>0.88</v>
      </c>
      <c r="I11" s="9">
        <v>1.95</v>
      </c>
      <c r="J11" s="9">
        <v>1.95</v>
      </c>
      <c r="K11" s="9">
        <v>1.194</v>
      </c>
      <c r="L11" s="18">
        <v>291</v>
      </c>
      <c r="M11" s="18"/>
      <c r="N11" s="18"/>
      <c r="O11" s="18"/>
      <c r="P11" s="18" t="s">
        <v>32</v>
      </c>
      <c r="Q11" s="18"/>
      <c r="R11" s="18"/>
      <c r="S11" s="18"/>
      <c r="T11" s="18" t="s">
        <v>27</v>
      </c>
      <c r="U11" s="18"/>
      <c r="V11" s="18"/>
      <c r="W11" s="18"/>
      <c r="X11" s="18" t="s">
        <v>32</v>
      </c>
      <c r="Y11" s="18"/>
      <c r="Z11" s="18"/>
      <c r="AA11" s="18"/>
    </row>
    <row r="13" spans="1:27" x14ac:dyDescent="0.35">
      <c r="I13" s="19">
        <v>0.05</v>
      </c>
      <c r="J13" s="19">
        <v>0.03</v>
      </c>
      <c r="K13" s="19">
        <v>0.01</v>
      </c>
    </row>
    <row r="14" spans="1:27" x14ac:dyDescent="0.35">
      <c r="I14">
        <f>I13/0.11</f>
        <v>0.45454545454545459</v>
      </c>
      <c r="J14">
        <f t="shared" ref="J14:K14" si="0">J13/0.11</f>
        <v>0.27272727272727271</v>
      </c>
      <c r="K14">
        <f t="shared" si="0"/>
        <v>9.0909090909090912E-2</v>
      </c>
    </row>
    <row r="15" spans="1:27" x14ac:dyDescent="0.35">
      <c r="G15" t="s">
        <v>15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39</v>
      </c>
      <c r="O15" t="s">
        <v>40</v>
      </c>
      <c r="P15" t="s">
        <v>41</v>
      </c>
      <c r="Q15" t="s">
        <v>42</v>
      </c>
      <c r="R15" t="s">
        <v>43</v>
      </c>
      <c r="S15" t="s">
        <v>44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s">
        <v>51</v>
      </c>
      <c r="AA15" t="s">
        <v>52</v>
      </c>
    </row>
    <row r="16" spans="1:27" x14ac:dyDescent="0.35">
      <c r="G16" t="s">
        <v>26</v>
      </c>
      <c r="H16">
        <v>9.0999999999999998E-2</v>
      </c>
      <c r="I16" t="s">
        <v>27</v>
      </c>
      <c r="L16">
        <v>0.35</v>
      </c>
      <c r="P16">
        <v>19</v>
      </c>
      <c r="T16" t="s">
        <v>27</v>
      </c>
      <c r="U16">
        <v>0.28599999999999998</v>
      </c>
      <c r="X16">
        <v>8.9999999999999993E-3</v>
      </c>
    </row>
    <row r="17" spans="1:27" x14ac:dyDescent="0.35">
      <c r="G17" t="s">
        <v>28</v>
      </c>
      <c r="H17">
        <v>0.182</v>
      </c>
      <c r="I17">
        <v>0.45</v>
      </c>
      <c r="J17">
        <v>0.27</v>
      </c>
      <c r="K17">
        <v>0.09</v>
      </c>
      <c r="L17">
        <v>0.55000000000000004</v>
      </c>
      <c r="P17">
        <v>5</v>
      </c>
      <c r="T17" t="s">
        <v>27</v>
      </c>
      <c r="U17">
        <v>0.995</v>
      </c>
      <c r="X17">
        <v>9.0999999999999998E-2</v>
      </c>
      <c r="Y17">
        <v>0.23599999999999999</v>
      </c>
      <c r="Z17">
        <v>0.14499999999999999</v>
      </c>
      <c r="AA17">
        <v>5.5E-2</v>
      </c>
    </row>
    <row r="18" spans="1:27" x14ac:dyDescent="0.35">
      <c r="G18" t="s">
        <v>29</v>
      </c>
      <c r="H18">
        <v>0.45500000000000002</v>
      </c>
      <c r="I18">
        <v>2.9910000000000001</v>
      </c>
      <c r="J18">
        <v>1.1000000000000001</v>
      </c>
      <c r="K18">
        <v>0.78200000000000003</v>
      </c>
      <c r="L18">
        <v>0.63</v>
      </c>
      <c r="P18">
        <v>1.5</v>
      </c>
      <c r="T18" t="s">
        <v>27</v>
      </c>
      <c r="X18" t="s">
        <v>53</v>
      </c>
      <c r="Y18">
        <v>0.191</v>
      </c>
      <c r="Z18">
        <v>0.218</v>
      </c>
      <c r="AA18">
        <v>0.14499999999999999</v>
      </c>
    </row>
    <row r="19" spans="1:27" x14ac:dyDescent="0.35">
      <c r="G19" t="s">
        <v>31</v>
      </c>
      <c r="H19">
        <v>1.8180000000000001</v>
      </c>
      <c r="I19">
        <v>13.244999999999999</v>
      </c>
      <c r="J19">
        <v>4.891</v>
      </c>
      <c r="K19">
        <v>5.0270000000000001</v>
      </c>
      <c r="L19">
        <v>1.5</v>
      </c>
      <c r="P19">
        <v>11</v>
      </c>
      <c r="T19" t="s">
        <v>27</v>
      </c>
      <c r="X19">
        <v>0.182</v>
      </c>
      <c r="Y19">
        <v>3.7269999999999999</v>
      </c>
      <c r="Z19">
        <v>1.5449999999999999</v>
      </c>
      <c r="AA19">
        <v>2.2269999999999999</v>
      </c>
    </row>
    <row r="20" spans="1:27" x14ac:dyDescent="0.35">
      <c r="G20" t="s">
        <v>10</v>
      </c>
      <c r="H20">
        <v>15</v>
      </c>
      <c r="I20">
        <v>240</v>
      </c>
      <c r="J20">
        <v>56</v>
      </c>
      <c r="K20">
        <v>64</v>
      </c>
      <c r="L20">
        <v>11</v>
      </c>
      <c r="P20">
        <v>29.2</v>
      </c>
      <c r="T20" t="s">
        <v>27</v>
      </c>
      <c r="X20" t="s">
        <v>32</v>
      </c>
    </row>
    <row r="21" spans="1:27" x14ac:dyDescent="0.35">
      <c r="G21" t="s">
        <v>12</v>
      </c>
      <c r="J21">
        <v>821</v>
      </c>
      <c r="K21">
        <v>176</v>
      </c>
      <c r="N21">
        <v>11</v>
      </c>
      <c r="P21" t="s">
        <v>53</v>
      </c>
      <c r="Q21" t="s">
        <v>53</v>
      </c>
      <c r="R21">
        <v>29.2</v>
      </c>
      <c r="T21" t="s">
        <v>27</v>
      </c>
      <c r="X21" t="s">
        <v>32</v>
      </c>
    </row>
    <row r="22" spans="1:27" x14ac:dyDescent="0.35">
      <c r="G22" t="s">
        <v>6</v>
      </c>
      <c r="H22">
        <v>8.25</v>
      </c>
      <c r="I22">
        <v>11.287000000000001</v>
      </c>
      <c r="J22">
        <v>6.75</v>
      </c>
      <c r="K22">
        <v>15.087999999999999</v>
      </c>
      <c r="L22">
        <v>44</v>
      </c>
      <c r="P22">
        <v>345</v>
      </c>
      <c r="T22" t="s">
        <v>27</v>
      </c>
      <c r="X22" t="s">
        <v>32</v>
      </c>
    </row>
    <row r="23" spans="1:27" x14ac:dyDescent="0.35">
      <c r="G23" t="s">
        <v>8</v>
      </c>
      <c r="H23">
        <v>1.125</v>
      </c>
      <c r="I23">
        <v>13.25</v>
      </c>
      <c r="J23">
        <v>9.1999999999999993</v>
      </c>
      <c r="K23">
        <v>6.25</v>
      </c>
      <c r="L23">
        <v>7.3</v>
      </c>
      <c r="P23">
        <v>36.200000000000003</v>
      </c>
      <c r="T23" t="s">
        <v>27</v>
      </c>
      <c r="X23" t="s">
        <v>32</v>
      </c>
    </row>
    <row r="24" spans="1:27" x14ac:dyDescent="0.35">
      <c r="G24" t="s">
        <v>4</v>
      </c>
      <c r="H24">
        <v>8.8000000000000007</v>
      </c>
      <c r="I24">
        <v>19.5</v>
      </c>
      <c r="J24">
        <v>19.5</v>
      </c>
      <c r="K24">
        <v>11.94</v>
      </c>
      <c r="L24">
        <v>291</v>
      </c>
      <c r="P24" t="s">
        <v>32</v>
      </c>
      <c r="T24" t="s">
        <v>27</v>
      </c>
      <c r="X24" t="s">
        <v>32</v>
      </c>
    </row>
    <row r="28" spans="1:27" x14ac:dyDescent="0.35">
      <c r="A28" t="s">
        <v>54</v>
      </c>
    </row>
    <row r="29" spans="1:27" ht="15" thickBot="1" x14ac:dyDescent="0.4"/>
    <row r="30" spans="1:27" ht="15" thickBot="1" x14ac:dyDescent="0.4">
      <c r="A30" s="24" t="s">
        <v>55</v>
      </c>
      <c r="B30" s="26" t="s">
        <v>19</v>
      </c>
      <c r="C30" s="26"/>
      <c r="D30" s="26"/>
      <c r="E30" s="26"/>
      <c r="F30" s="26" t="s">
        <v>56</v>
      </c>
      <c r="G30" s="26"/>
      <c r="H30" s="26"/>
      <c r="I30" s="26"/>
      <c r="J30" s="26" t="s">
        <v>57</v>
      </c>
      <c r="K30" s="26"/>
      <c r="L30" s="26"/>
      <c r="M30" s="26"/>
    </row>
    <row r="31" spans="1:27" ht="15" thickBot="1" x14ac:dyDescent="0.4">
      <c r="A31" s="25"/>
      <c r="B31" s="20" t="s">
        <v>21</v>
      </c>
      <c r="C31" s="20" t="s">
        <v>22</v>
      </c>
      <c r="D31" s="20" t="s">
        <v>23</v>
      </c>
      <c r="E31" s="20" t="s">
        <v>24</v>
      </c>
      <c r="F31" s="20" t="s">
        <v>21</v>
      </c>
      <c r="G31" s="20" t="s">
        <v>22</v>
      </c>
      <c r="H31" s="20" t="s">
        <v>23</v>
      </c>
      <c r="I31" s="20" t="s">
        <v>24</v>
      </c>
      <c r="J31" s="20" t="s">
        <v>21</v>
      </c>
      <c r="K31" s="20" t="s">
        <v>22</v>
      </c>
      <c r="L31" s="20" t="s">
        <v>23</v>
      </c>
      <c r="M31" s="20" t="s">
        <v>24</v>
      </c>
    </row>
    <row r="32" spans="1:27" x14ac:dyDescent="0.35">
      <c r="A32" s="21" t="s">
        <v>26</v>
      </c>
      <c r="B32" s="28">
        <v>0.29599999999999999</v>
      </c>
      <c r="C32" s="28"/>
      <c r="D32" s="28"/>
      <c r="E32" s="28"/>
      <c r="F32" s="21" t="s">
        <v>30</v>
      </c>
      <c r="G32" s="21">
        <v>0.01</v>
      </c>
      <c r="H32" s="21">
        <v>0.01</v>
      </c>
      <c r="I32" s="21">
        <v>0.01</v>
      </c>
      <c r="J32" s="21">
        <v>0.15</v>
      </c>
      <c r="K32" s="21">
        <v>0.15</v>
      </c>
      <c r="L32" s="21">
        <v>0.15</v>
      </c>
      <c r="M32" s="21">
        <v>0.15</v>
      </c>
      <c r="O32">
        <f>J32/0.11</f>
        <v>1.3636363636363635</v>
      </c>
      <c r="P32">
        <f t="shared" ref="P32:R35" si="1">K32/0.11</f>
        <v>1.3636363636363635</v>
      </c>
      <c r="Q32">
        <f t="shared" si="1"/>
        <v>1.3636363636363635</v>
      </c>
      <c r="R32">
        <f t="shared" si="1"/>
        <v>1.3636363636363635</v>
      </c>
    </row>
    <row r="33" spans="1:18" ht="18" x14ac:dyDescent="0.35">
      <c r="A33" s="21" t="s">
        <v>58</v>
      </c>
      <c r="B33" s="27">
        <v>0.995</v>
      </c>
      <c r="C33" s="27"/>
      <c r="D33" s="27"/>
      <c r="E33" s="27"/>
      <c r="F33" s="21" t="s">
        <v>30</v>
      </c>
      <c r="G33" s="21">
        <v>0.05</v>
      </c>
      <c r="H33" s="21">
        <v>0.03</v>
      </c>
      <c r="I33" s="21">
        <v>0.01</v>
      </c>
      <c r="J33" s="21">
        <v>7.0000000000000007E-2</v>
      </c>
      <c r="K33" s="21">
        <v>0.17</v>
      </c>
      <c r="L33" s="21">
        <v>0.11</v>
      </c>
      <c r="M33" s="21">
        <v>0.05</v>
      </c>
      <c r="O33">
        <f>J33/0.11</f>
        <v>0.63636363636363646</v>
      </c>
      <c r="P33">
        <f t="shared" si="1"/>
        <v>1.5454545454545456</v>
      </c>
      <c r="Q33">
        <f t="shared" si="1"/>
        <v>1</v>
      </c>
      <c r="R33">
        <f t="shared" si="1"/>
        <v>0.45454545454545459</v>
      </c>
    </row>
    <row r="34" spans="1:18" x14ac:dyDescent="0.35">
      <c r="A34" s="21" t="s">
        <v>29</v>
      </c>
      <c r="B34" s="21">
        <v>0.81100000000000005</v>
      </c>
      <c r="C34" s="21">
        <v>0.42699999999999999</v>
      </c>
      <c r="D34" s="21">
        <v>0.79100000000000004</v>
      </c>
      <c r="E34" s="21">
        <v>0.86199999999999999</v>
      </c>
      <c r="F34" s="29"/>
      <c r="G34" s="29"/>
      <c r="H34" s="29"/>
      <c r="I34" s="29"/>
      <c r="J34" s="21">
        <v>0.03</v>
      </c>
      <c r="K34" s="21">
        <v>0.19</v>
      </c>
      <c r="L34" s="21">
        <v>7.0000000000000007E-2</v>
      </c>
      <c r="M34" s="21">
        <v>0.05</v>
      </c>
      <c r="O34">
        <f>J34/0.11</f>
        <v>0.27272727272727271</v>
      </c>
      <c r="P34">
        <f t="shared" si="1"/>
        <v>1.7272727272727273</v>
      </c>
      <c r="Q34">
        <f t="shared" si="1"/>
        <v>0.63636363636363646</v>
      </c>
      <c r="R34">
        <f t="shared" si="1"/>
        <v>0.45454545454545459</v>
      </c>
    </row>
    <row r="35" spans="1:18" ht="18" x14ac:dyDescent="0.35">
      <c r="A35" s="21" t="s">
        <v>31</v>
      </c>
      <c r="B35" s="21">
        <v>0.92400000000000004</v>
      </c>
      <c r="C35" s="21">
        <v>0.41299999999999998</v>
      </c>
      <c r="D35" s="21">
        <v>0.61799999999999999</v>
      </c>
      <c r="E35" s="21">
        <v>0.60299999999999998</v>
      </c>
      <c r="F35" s="29"/>
      <c r="G35" s="29"/>
      <c r="H35" s="29"/>
      <c r="I35" s="29"/>
      <c r="J35" s="21">
        <v>1.46</v>
      </c>
      <c r="K35" s="21">
        <v>10.64</v>
      </c>
      <c r="L35" s="21">
        <v>3.93</v>
      </c>
      <c r="M35" s="21">
        <v>4.04</v>
      </c>
      <c r="O35">
        <f>J35/0.11</f>
        <v>13.272727272727272</v>
      </c>
      <c r="P35">
        <f t="shared" si="1"/>
        <v>96.727272727272734</v>
      </c>
      <c r="Q35">
        <f t="shared" si="1"/>
        <v>35.727272727272727</v>
      </c>
      <c r="R35">
        <f t="shared" si="1"/>
        <v>36.727272727272727</v>
      </c>
    </row>
    <row r="36" spans="1:18" x14ac:dyDescent="0.35">
      <c r="A36" s="22" t="s">
        <v>10</v>
      </c>
      <c r="B36" s="27">
        <v>0</v>
      </c>
      <c r="C36" s="27"/>
      <c r="D36" s="27"/>
      <c r="E36" s="27"/>
      <c r="F36" s="29"/>
      <c r="G36" s="29"/>
      <c r="H36" s="29"/>
      <c r="I36" s="29"/>
      <c r="J36" s="21">
        <v>0.37</v>
      </c>
      <c r="K36" s="21">
        <v>5.93</v>
      </c>
      <c r="L36" s="21">
        <v>1.38</v>
      </c>
      <c r="M36" s="21">
        <v>1.58</v>
      </c>
      <c r="O36">
        <f>J36/0.002</f>
        <v>185</v>
      </c>
      <c r="P36">
        <f t="shared" ref="P36:R36" si="2">K36/0.002</f>
        <v>2965</v>
      </c>
      <c r="Q36">
        <f t="shared" si="2"/>
        <v>689.99999999999989</v>
      </c>
      <c r="R36">
        <f t="shared" si="2"/>
        <v>790</v>
      </c>
    </row>
    <row r="37" spans="1:18" x14ac:dyDescent="0.35">
      <c r="A37" s="22" t="s">
        <v>12</v>
      </c>
      <c r="B37" s="27">
        <v>0</v>
      </c>
      <c r="C37" s="27"/>
      <c r="D37" s="27"/>
      <c r="E37" s="27"/>
      <c r="F37" s="29"/>
      <c r="G37" s="29"/>
      <c r="H37" s="29"/>
      <c r="I37" s="29"/>
      <c r="J37" s="21" t="s">
        <v>30</v>
      </c>
      <c r="K37" s="21" t="s">
        <v>30</v>
      </c>
      <c r="L37" s="21">
        <v>10.15</v>
      </c>
      <c r="M37" s="21">
        <v>2.1800000000000002</v>
      </c>
      <c r="O37" t="e">
        <f>J37/0.001</f>
        <v>#VALUE!</v>
      </c>
      <c r="P37" t="e">
        <f t="shared" ref="P37:R37" si="3">K37/0.001</f>
        <v>#VALUE!</v>
      </c>
      <c r="Q37">
        <f t="shared" si="3"/>
        <v>10150</v>
      </c>
      <c r="R37">
        <f t="shared" si="3"/>
        <v>2180</v>
      </c>
    </row>
    <row r="38" spans="1:18" x14ac:dyDescent="0.35">
      <c r="A38" s="21" t="s">
        <v>6</v>
      </c>
      <c r="B38" s="21">
        <v>0.108</v>
      </c>
      <c r="C38" s="21">
        <v>0.72699999999999998</v>
      </c>
      <c r="D38" s="21">
        <v>0.99199999999999999</v>
      </c>
      <c r="E38" s="21">
        <v>0.25</v>
      </c>
      <c r="F38" s="29"/>
      <c r="G38" s="29"/>
      <c r="H38" s="29"/>
      <c r="I38" s="29"/>
      <c r="J38" s="21">
        <v>153.1</v>
      </c>
      <c r="K38" s="21">
        <v>209.5</v>
      </c>
      <c r="L38" s="21">
        <v>125.3</v>
      </c>
      <c r="M38" s="21">
        <v>280</v>
      </c>
      <c r="O38">
        <f>J38/0.08</f>
        <v>1913.75</v>
      </c>
      <c r="P38">
        <f t="shared" ref="P38:R39" si="4">K38/0.08</f>
        <v>2618.75</v>
      </c>
      <c r="Q38">
        <f t="shared" si="4"/>
        <v>1566.25</v>
      </c>
      <c r="R38">
        <f t="shared" si="4"/>
        <v>3500</v>
      </c>
    </row>
    <row r="39" spans="1:18" x14ac:dyDescent="0.35">
      <c r="A39" s="22" t="s">
        <v>8</v>
      </c>
      <c r="B39" s="27">
        <v>0</v>
      </c>
      <c r="C39" s="27"/>
      <c r="D39" s="27"/>
      <c r="E39" s="27"/>
      <c r="F39" s="29"/>
      <c r="G39" s="29"/>
      <c r="H39" s="29"/>
      <c r="I39" s="29"/>
      <c r="J39" s="21">
        <v>1.9490000000000001</v>
      </c>
      <c r="K39" s="21">
        <v>22.96</v>
      </c>
      <c r="L39" s="21">
        <v>15.94</v>
      </c>
      <c r="M39" s="21">
        <v>10.83</v>
      </c>
      <c r="O39">
        <f>J39/0.08</f>
        <v>24.362500000000001</v>
      </c>
      <c r="P39">
        <f t="shared" si="4"/>
        <v>287</v>
      </c>
      <c r="Q39">
        <f t="shared" si="4"/>
        <v>199.25</v>
      </c>
      <c r="R39">
        <f t="shared" si="4"/>
        <v>135.375</v>
      </c>
    </row>
    <row r="40" spans="1:18" ht="18" x14ac:dyDescent="0.35">
      <c r="A40" s="21" t="s">
        <v>4</v>
      </c>
      <c r="B40" s="21">
        <v>0.54100000000000004</v>
      </c>
      <c r="C40" s="21">
        <v>0.372</v>
      </c>
      <c r="D40" s="21">
        <v>0.23</v>
      </c>
      <c r="E40" s="21">
        <v>0.753</v>
      </c>
      <c r="F40" s="29"/>
      <c r="G40" s="29"/>
      <c r="H40" s="29"/>
      <c r="I40" s="29"/>
      <c r="J40" s="27" t="s">
        <v>30</v>
      </c>
      <c r="K40" s="27"/>
      <c r="L40" s="27"/>
      <c r="M40" s="27"/>
    </row>
    <row r="41" spans="1:18" ht="15" thickBot="1" x14ac:dyDescent="0.4">
      <c r="A41" s="23" t="s">
        <v>59</v>
      </c>
      <c r="B41" s="23">
        <v>0.48299999999999998</v>
      </c>
      <c r="C41" s="23">
        <v>0.30599999999999999</v>
      </c>
      <c r="D41" s="23">
        <v>0.183</v>
      </c>
      <c r="E41" s="23">
        <v>0.78300000000000003</v>
      </c>
      <c r="F41" s="30"/>
      <c r="G41" s="30"/>
      <c r="H41" s="30"/>
      <c r="I41" s="30"/>
      <c r="J41" s="31" t="s">
        <v>30</v>
      </c>
      <c r="K41" s="31"/>
      <c r="L41" s="31"/>
      <c r="M41" s="31"/>
    </row>
  </sheetData>
  <mergeCells count="60">
    <mergeCell ref="J40:M40"/>
    <mergeCell ref="F41:I41"/>
    <mergeCell ref="J41:M41"/>
    <mergeCell ref="B37:E37"/>
    <mergeCell ref="F37:I37"/>
    <mergeCell ref="F38:I38"/>
    <mergeCell ref="B39:E39"/>
    <mergeCell ref="F39:I39"/>
    <mergeCell ref="F40:I40"/>
    <mergeCell ref="B32:E32"/>
    <mergeCell ref="B33:E33"/>
    <mergeCell ref="F34:I34"/>
    <mergeCell ref="F35:I35"/>
    <mergeCell ref="B36:E36"/>
    <mergeCell ref="F36:I36"/>
    <mergeCell ref="L11:O11"/>
    <mergeCell ref="P11:S11"/>
    <mergeCell ref="T11:W11"/>
    <mergeCell ref="X11:AA11"/>
    <mergeCell ref="A30:A31"/>
    <mergeCell ref="B30:E30"/>
    <mergeCell ref="F30:I30"/>
    <mergeCell ref="J30:M30"/>
    <mergeCell ref="L9:O9"/>
    <mergeCell ref="P9:S9"/>
    <mergeCell ref="T9:W9"/>
    <mergeCell ref="X9:AA9"/>
    <mergeCell ref="L10:O10"/>
    <mergeCell ref="P10:S10"/>
    <mergeCell ref="T10:W10"/>
    <mergeCell ref="X10:AA10"/>
    <mergeCell ref="L7:O7"/>
    <mergeCell ref="P7:S7"/>
    <mergeCell ref="T7:W7"/>
    <mergeCell ref="X7:AA7"/>
    <mergeCell ref="N8:O8"/>
    <mergeCell ref="R8:S8"/>
    <mergeCell ref="T8:W8"/>
    <mergeCell ref="X8:AA8"/>
    <mergeCell ref="L5:O5"/>
    <mergeCell ref="P5:S5"/>
    <mergeCell ref="T5:W5"/>
    <mergeCell ref="L6:O6"/>
    <mergeCell ref="P6:S6"/>
    <mergeCell ref="T6:W6"/>
    <mergeCell ref="I3:K3"/>
    <mergeCell ref="L3:O3"/>
    <mergeCell ref="P3:S3"/>
    <mergeCell ref="U3:W3"/>
    <mergeCell ref="X3:AA3"/>
    <mergeCell ref="I4:K4"/>
    <mergeCell ref="L4:O4"/>
    <mergeCell ref="P4:S4"/>
    <mergeCell ref="U4:W4"/>
    <mergeCell ref="G1:G2"/>
    <mergeCell ref="H1:K1"/>
    <mergeCell ref="L1:O1"/>
    <mergeCell ref="P1:S1"/>
    <mergeCell ref="T1:W1"/>
    <mergeCell ref="X1:AA1"/>
  </mergeCells>
  <hyperlinks>
    <hyperlink ref="C3" r:id="rId1" location="bb0260" display="https://www-sciencedirect-com.ezproxy.weizmann.ac.il/science/article/pii/S0924796314000396 - bb0260" xr:uid="{FF23A701-48E7-41A7-A4B8-C262A2819B07}"/>
    <hyperlink ref="C5" r:id="rId2" location="bb0055" display="https://www-sciencedirect-com.ezproxy.weizmann.ac.il/science/article/pii/S0924796314000396 - bb0055" xr:uid="{E6069EFE-89FC-4351-829F-ECCD268DE6D3}"/>
    <hyperlink ref="C6" r:id="rId3" location="bb0230" display="https://www-sciencedirect-com.ezproxy.weizmann.ac.il/science/article/pii/S0924796314000396 - bb0230" xr:uid="{D9CB31F0-0EB4-437B-A43C-77335820CF65}"/>
    <hyperlink ref="C7" r:id="rId4" location="bb0230" display="https://www-sciencedirect-com.ezproxy.weizmann.ac.il/science/article/pii/S0924796314000396 - bb0230" xr:uid="{40EFE42D-3ED7-4950-B67F-CF08A0612B71}"/>
    <hyperlink ref="C8" r:id="rId5" location="bb0235" display="https://www-sciencedirect-com.ezproxy.weizmann.ac.il/science/article/pii/S0924796314000396 - bb0235" xr:uid="{D73AAD0C-155C-481C-8EB1-9E22D9ED22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אוסנת פריבס</dc:creator>
  <cp:lastModifiedBy>אוסנת פריבס</cp:lastModifiedBy>
  <dcterms:created xsi:type="dcterms:W3CDTF">2026-06-28T07:14:58Z</dcterms:created>
  <dcterms:modified xsi:type="dcterms:W3CDTF">2026-06-28T07:57:58Z</dcterms:modified>
</cp:coreProperties>
</file>